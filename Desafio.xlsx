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ab\Downloads\"/>
    </mc:Choice>
  </mc:AlternateContent>
  <xr:revisionPtr revIDLastSave="0" documentId="13_ncr:1_{45CC401D-95C3-48D7-91BA-DC45088C256A}" xr6:coauthVersionLast="47" xr6:coauthVersionMax="47" xr10:uidLastSave="{00000000-0000-0000-0000-000000000000}"/>
  <bookViews>
    <workbookView xWindow="20370" yWindow="-120" windowWidth="24240" windowHeight="130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<sst xmlns="http://schemas.openxmlformats.org/spreadsheetml/2006/main" count="2022" uniqueCount="324">
  <si>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</si>
  <si>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</si>
  <si>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</si>
  <si>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</si>
  <si>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</si>
  <si>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</si>
  <si>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</si>
  <si>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</si>
  <si>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</si>
  <si>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</si>
  <si>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</si>
  <si>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</si>
  <si>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</si>
  <si>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</si>
  <si>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</si>
  <si>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</si>
  <si>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</si>
  <si>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</si>
  <si>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</si>
  <si>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</si>
  <si>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</si>
  <si>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</si>
  <si>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</si>
  <si>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</si>
  <si>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</si>
  <si>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</si>
  <si>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</si>
  <si>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</si>
  <si>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</si>
  <si>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</si>
  <si>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</si>
  <si>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</si>
  <si>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</si>
  <si>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</si>
  <si>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</si>
  <si>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</si>
  <si>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</si>
  <si>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</si>
  <si>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</si>
  <si>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</si>
  <si>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</si>
  <si>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</si>
  <si>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</si>
  <si>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</si>
  <si>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</si>
  <si>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</si>
  <si>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</si>
  <si>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</si>
  <si>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</si>
  <si>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</si>
  <si>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</si>
  <si>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</si>
  <si>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</si>
  <si>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</si>
  <si>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</si>
  <si>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</si>
  <si>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</si>
  <si>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</si>
  <si>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</si>
  <si>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</si>
  <si>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</si>
  <si>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</si>
  <si>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</si>
  <si>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</si>
  <si>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</si>
  <si>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</si>
  <si>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</si>
  <si>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</si>
  <si>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</si>
  <si>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</si>
  <si>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</si>
  <si>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</si>
  <si>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</si>
  <si>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</si>
  <si>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</si>
  <si>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</si>
  <si>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</si>
  <si>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</si>
  <si>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</si>
  <si>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</si>
  <si>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</si>
  <si>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</si>
  <si>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</si>
  <si>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</si>
  <si>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</si>
  <si>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</si>
  <si>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</si>
  <si>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</si>
  <si>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</si>
  <si>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</si>
  <si>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</si>
  <si>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</si>
  <si>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</si>
  <si>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</si>
  <si>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</si>
  <si>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</si>
  <si>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</si>
  <si>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</si>
  <si>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</si>
  <si>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</si>
  <si>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</si>
  <si>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</si>
  <si>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</si>
  <si>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</si>
  <si>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</si>
  <si>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</si>
  <si>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</si>
  <si>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</si>
  <si>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</si>
  <si>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</si>
  <si>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</si>
  <si>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</si>
  <si>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</si>
  <si>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</si>
  <si>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</si>
  <si>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</si>
  <si>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</si>
  <si>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</si>
  <si>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</si>
  <si>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</si>
  <si>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</si>
  <si>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</si>
  <si>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</si>
  <si>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</si>
  <si>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</si>
  <si>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</si>
  <si>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</si>
  <si>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</si>
  <si>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</si>
  <si>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</si>
  <si>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</si>
  <si>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</si>
  <si>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</si>
  <si>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</si>
  <si>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</si>
  <si>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</si>
  <si>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</si>
  <si>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</si>
  <si>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</si>
  <si>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</si>
  <si>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</si>
  <si>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</si>
  <si>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</si>
  <si>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</si>
  <si>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</si>
  <si>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</si>
  <si>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</si>
  <si>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</si>
  <si>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</si>
  <si>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</si>
  <si>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</si>
  <si>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</si>
  <si>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</si>
  <si>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</si>
  <si>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</si>
  <si>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</si>
  <si>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</si>
  <si>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</si>
  <si>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</si>
  <si>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</si>
  <si>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</si>
  <si>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</si>
  <si>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</si>
  <si>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</si>
  <si>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</si>
  <si>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</si>
  <si>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</si>
  <si>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</si>
  <si>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</si>
  <si>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</si>
  <si>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</si>
  <si>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</si>
  <si>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</si>
  <si>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</si>
  <si>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</si>
  <si>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</si>
  <si>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</si>
  <si>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</si>
  <si>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</si>
  <si>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</si>
  <si>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</si>
  <si>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</si>
  <si>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</si>
  <si>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</si>
  <si>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</si>
  <si>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</si>
  <si>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</si>
  <si>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</si>
  <si>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</si>
  <si>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</si>
  <si>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</si>
  <si>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</si>
  <si>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</si>
  <si>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</si>
  <si>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</si>
  <si>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</si>
  <si>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</si>
  <si>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</si>
  <si>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</si>
  <si>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</si>
  <si>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</si>
  <si>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</si>
  <si>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</si>
  <si>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</si>
  <si>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</si>
  <si>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</si>
  <si>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</si>
  <si>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</si>
  <si>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</si>
  <si>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</si>
  <si>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</si>
  <si>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</si>
  <si>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</si>
  <si>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</si>
  <si>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</si>
  <si>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</si>
  <si>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</si>
  <si>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</si>
  <si>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</si>
  <si>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</si>
  <si>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</si>
  <si>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</si>
  <si>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</si>
  <si>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</si>
  <si>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</si>
  <si>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</si>
  <si>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</si>
  <si>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</si>
  <si>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</si>
  <si>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</si>
  <si>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</si>
  <si>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</si>
  <si>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</si>
  <si>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</si>
  <si>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</si>
  <si>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</si>
  <si>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</si>
  <si>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</si>
  <si>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</si>
  <si>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</si>
  <si>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</si>
  <si>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</si>
  <si>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</si>
  <si>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</si>
  <si>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</si>
  <si>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</si>
  <si>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</si>
  <si>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</si>
  <si>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</si>
  <si>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</si>
  <si>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</si>
  <si>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</si>
  <si>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</si>
  <si>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</si>
  <si>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</si>
  <si>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</si>
  <si>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</si>
  <si>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</si>
  <si>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</si>
  <si>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</si>
  <si>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</si>
  <si>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</si>
  <si>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</si>
  <si>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</si>
  <si>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</si>
  <si>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</si>
  <si>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</si>
  <si>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</si>
  <si>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</si>
  <si>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</si>
  <si>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</si>
  <si>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</si>
  <si>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</si>
  <si>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</si>
  <si>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</si>
  <si>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</si>
  <si>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</si>
  <si>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</si>
  <si>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</si>
  <si>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</si>
  <si>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</si>
  <si>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</si>
  <si>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</si>
  <si>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</si>
  <si>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</si>
  <si>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</si>
  <si>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</si>
  <si>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</si>
  <si>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</si>
  <si>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</si>
  <si>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</si>
  <si>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</si>
  <si>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</si>
  <si>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</si>
  <si>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</si>
  <si>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</si>
  <si>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</si>
  <si>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</si>
  <si>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</si>
  <si>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</si>
  <si>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</si>
  <si>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</si>
  <si>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</si>
  <si>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</si>
  <si>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</si>
  <si>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</si>
  <si>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</si>
  <si>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</si>
  <si>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</si>
  <si>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</si>
  <si>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</si>
  <si>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</si>
  <si>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</si>
  <si>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</si>
  <si>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</si>
  <si>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</si>
  <si>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</si>
  <si>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(sim/não)</t>
    </r>
  </si>
  <si>
    <t>XBOX GAME PASS SUBSCRIPTIONS SALES</t>
  </si>
  <si>
    <r>
      <t xml:space="preserve">Pergunta de Negócio 3 -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EA Play</t>
    </r>
  </si>
  <si>
    <t>Soma de EA Play Season Pass</t>
  </si>
  <si>
    <r>
      <t xml:space="preserve">Pergunta de Negócio 4 -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Minecraft Season Pass</t>
    </r>
  </si>
  <si>
    <t>Soma de Minecraft Season Pass Price</t>
  </si>
  <si>
    <t>Período calculado: 01/01/2024 - 31/12/2024 | Atualizado em: 19/01/2026 - 06:14:35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</si>
</sst>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9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40"/>
      <color rgb="FF22C55E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3" xfId="3" applyBorder="1"/>
    <xf numFmtId="0" fontId="0" fillId="0" borderId="0" xfId="0" applyNumberFormat="1"/>
    <xf numFmtId="0" fontId="0" fillId="0" borderId="0" xfId="0" applyAlignment="1">
      <alignment wrapText="1"/>
    </xf>
    <xf numFmtId="169" fontId="0" fillId="0" borderId="0" xfId="0" applyNumberFormat="1"/>
    <xf numFmtId="0" fontId="5" fillId="4" borderId="0" xfId="0" applyFont="1" applyFill="1"/>
    <xf numFmtId="169" fontId="7" fillId="0" borderId="0" xfId="0" applyNumberFormat="1" applyFont="1"/>
    <xf numFmtId="0" fontId="6" fillId="0" borderId="3" xfId="3" applyFont="1" applyBorder="1" applyAlignment="1">
      <alignment horizontal="left" indent="3"/>
    </xf>
    <xf numFmtId="0" fontId="8" fillId="7" borderId="0" xfId="0" applyFont="1" applyFill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7">
    <dxf>
      <font>
        <b/>
        <i val="0"/>
        <u val="none"/>
        <color theme="0"/>
      </font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>
          <bgColor rgb="FFFFFFFF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53C4602E-4749-4097-B66E-0A376C2D9C45}">
      <tableStyleElement type="wholeTable" dxfId="2"/>
    </tableStyle>
    <tableStyle name="Estilo de Segmentação de Dados 2" pivot="0" table="0" count="2" xr9:uid="{B380E2B4-38E3-4A6D-980E-1E4038C510FF}">
      <tableStyleElement type="wholeTable" dxfId="1"/>
      <tableStyleElement type="headerRow" dxfId="0"/>
    </tableStyle>
  </tableStyles>
  <colors>
    <mruColors>
      <color rgb="FF22C55E"/>
      <color rgb="FF2AE6B1"/>
      <color rgb="FFFFFFFF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[Desafio.xlsx]C̳álculos!Tabela dinâmica1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C̳álculos!$C$10:$C$12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C̳álculos!$D$10:$D$12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9-4066-8D60-A9ABC282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380192"/>
        <c:axId val="538377312"/>
      </c:barChart>
      <c:catAx>
        <c:axId val="53838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8377312"/>
        <c:crosses val="autoZero"/>
        <c:auto val="1"/>
        <c:lblAlgn val="ctr"/>
        <c:lblOffset val="100"/>
        <c:noMultiLvlLbl val="0"/>
      </c:catAx>
      <c:valAx>
        <c:axId val="5383773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383801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304800</xdr:colOff>
      <xdr:row>36</xdr:row>
      <xdr:rowOff>114300</xdr:rowOff>
    </xdr:to>
    <xdr:sp macro="" textlink="">
      <xdr:nvSpPr>
        <xdr:cNvPr id="4" name="AutoShape 2" descr="Imagem de ">
          <a:extLst>
            <a:ext uri="{FF2B5EF4-FFF2-40B4-BE49-F238E27FC236}">
              <a16:creationId xmlns:a16="http://schemas.microsoft.com/office/drawing/2014/main" id="{EB6C9201-770D-CB5C-4B42-5DE2415A04F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304800</xdr:colOff>
      <xdr:row>36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C60B4569-5EAE-86D5-B2F2-8A1A0E0D485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8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AB051C0A-1382-BDC3-04E3-CDCFD32D7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114300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9F57ECA1-3194-8553-44B7-646F11802D24}"/>
            </a:ext>
          </a:extLst>
        </xdr:cNvPr>
        <xdr:cNvSpPr>
          <a:spLocks noChangeAspect="1" noChangeArrowheads="1"/>
        </xdr:cNvSpPr>
      </xdr:nvSpPr>
      <xdr:spPr bwMode="auto">
        <a:xfrm>
          <a:off x="37433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1785937</xdr:colOff>
      <xdr:row>0</xdr:row>
      <xdr:rowOff>0</xdr:rowOff>
    </xdr:from>
    <xdr:to>
      <xdr:col>2</xdr:col>
      <xdr:colOff>178594</xdr:colOff>
      <xdr:row>3</xdr:row>
      <xdr:rowOff>154781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BF3C74-3A76-4F09-A2B8-7C5471D0AE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360"/>
        <a:stretch>
          <a:fillRect/>
        </a:stretch>
      </xdr:blipFill>
      <xdr:spPr>
        <a:xfrm>
          <a:off x="1785937" y="0"/>
          <a:ext cx="690563" cy="809625"/>
        </a:xfrm>
        <a:prstGeom prst="rect">
          <a:avLst/>
        </a:prstGeom>
      </xdr:spPr>
    </xdr:pic>
    <xdr:clientData/>
  </xdr:twoCellAnchor>
  <xdr:twoCellAnchor editAs="absolute">
    <xdr:from>
      <xdr:col>1</xdr:col>
      <xdr:colOff>359567</xdr:colOff>
      <xdr:row>19</xdr:row>
      <xdr:rowOff>23814</xdr:rowOff>
    </xdr:from>
    <xdr:to>
      <xdr:col>21</xdr:col>
      <xdr:colOff>214312</xdr:colOff>
      <xdr:row>37</xdr:row>
      <xdr:rowOff>35718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45DD76-D25D-45FB-9716-AA8FE363F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</xdr:row>
      <xdr:rowOff>69057</xdr:rowOff>
    </xdr:from>
    <xdr:to>
      <xdr:col>1</xdr:col>
      <xdr:colOff>-1</xdr:colOff>
      <xdr:row>15</xdr:row>
      <xdr:rowOff>130969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D2633C1-0E86-4AD3-9374-6EB8116CC7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19213"/>
              <a:ext cx="1833562" cy="1776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202403</xdr:colOff>
      <xdr:row>6</xdr:row>
      <xdr:rowOff>5954</xdr:rowOff>
    </xdr:from>
    <xdr:to>
      <xdr:col>21</xdr:col>
      <xdr:colOff>238123</xdr:colOff>
      <xdr:row>15</xdr:row>
      <xdr:rowOff>178594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55880EA-E0A7-7DB6-855C-C64A6BED4E7E}"/>
            </a:ext>
          </a:extLst>
        </xdr:cNvPr>
        <xdr:cNvGrpSpPr/>
      </xdr:nvGrpSpPr>
      <xdr:grpSpPr>
        <a:xfrm>
          <a:off x="9013028" y="1256110"/>
          <a:ext cx="5024439" cy="1887140"/>
          <a:chOff x="2274093" y="814205"/>
          <a:chExt cx="4464844" cy="1524182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8000247F-676A-08C6-1496-9BC960A99396}"/>
              </a:ext>
            </a:extLst>
          </xdr:cNvPr>
          <xdr:cNvSpPr/>
        </xdr:nvSpPr>
        <xdr:spPr>
          <a:xfrm>
            <a:off x="2286000" y="857250"/>
            <a:ext cx="4452937" cy="1440655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3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963D11DA-5D4A-A2B8-B501-8D829D1B1C9B}"/>
              </a:ext>
            </a:extLst>
          </xdr:cNvPr>
          <xdr:cNvSpPr/>
        </xdr:nvSpPr>
        <xdr:spPr>
          <a:xfrm>
            <a:off x="3345656" y="1210865"/>
            <a:ext cx="3381375" cy="103584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A70ADBE-BF5C-4695-A2A4-105874A768E8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R$ 1.350,00</a:t>
            </a:fld>
            <a:endParaRPr lang="en-US" sz="4000" b="1">
              <a:solidFill>
                <a:srgbClr val="22C55E"/>
              </a:solidFill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ACD204FF-A0BC-4A1C-AD5E-94E3579011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69344" y="1119187"/>
            <a:ext cx="1219200" cy="1219200"/>
          </a:xfrm>
          <a:prstGeom prst="rect">
            <a:avLst/>
          </a:prstGeom>
        </xdr:spPr>
      </xdr:pic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724043E-2186-B429-C04C-A84E52231449}"/>
              </a:ext>
            </a:extLst>
          </xdr:cNvPr>
          <xdr:cNvSpPr/>
        </xdr:nvSpPr>
        <xdr:spPr>
          <a:xfrm>
            <a:off x="2274093" y="814205"/>
            <a:ext cx="4452937" cy="40481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0</xdr:colOff>
      <xdr:row>6</xdr:row>
      <xdr:rowOff>2381</xdr:rowOff>
    </xdr:from>
    <xdr:to>
      <xdr:col>10</xdr:col>
      <xdr:colOff>226218</xdr:colOff>
      <xdr:row>15</xdr:row>
      <xdr:rowOff>107157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58308CBF-1E7A-206D-24B5-D0001D6797C4}"/>
            </a:ext>
          </a:extLst>
        </xdr:cNvPr>
        <xdr:cNvGrpSpPr/>
      </xdr:nvGrpSpPr>
      <xdr:grpSpPr>
        <a:xfrm>
          <a:off x="2297906" y="1252537"/>
          <a:ext cx="5083968" cy="1819276"/>
          <a:chOff x="7560469" y="1026319"/>
          <a:chExt cx="4464845" cy="1464468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CDFD62AB-CEAD-5A2F-7DC6-1F51543FD2F5}"/>
              </a:ext>
            </a:extLst>
          </xdr:cNvPr>
          <xdr:cNvSpPr/>
        </xdr:nvSpPr>
        <xdr:spPr>
          <a:xfrm>
            <a:off x="7560470" y="1050132"/>
            <a:ext cx="4452937" cy="1440655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4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22F76ACF-82A3-9B01-789B-CADAC0882BE4}"/>
              </a:ext>
            </a:extLst>
          </xdr:cNvPr>
          <xdr:cNvSpPr/>
        </xdr:nvSpPr>
        <xdr:spPr>
          <a:xfrm>
            <a:off x="8929690" y="1427560"/>
            <a:ext cx="3095624" cy="103584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DF4F0F0-B252-458C-B5FC-E3CA3C10E989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t>R$ 1.800,00</a:t>
            </a:fld>
            <a:endParaRPr lang="en-US" sz="4000" b="1">
              <a:solidFill>
                <a:srgbClr val="22C55E"/>
              </a:solidFill>
            </a:endParaRPr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377BA879-6EEF-7492-C0F2-1E6D039AC271}"/>
              </a:ext>
            </a:extLst>
          </xdr:cNvPr>
          <xdr:cNvSpPr/>
        </xdr:nvSpPr>
        <xdr:spPr>
          <a:xfrm>
            <a:off x="7560469" y="1026319"/>
            <a:ext cx="4452937" cy="40481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415487E7-C4E3-37A8-A035-34900F680020}"/>
              </a:ext>
            </a:extLst>
          </xdr:cNvPr>
          <xdr:cNvGrpSpPr/>
        </xdr:nvGrpSpPr>
        <xdr:grpSpPr>
          <a:xfrm>
            <a:off x="7667625" y="1558529"/>
            <a:ext cx="1262062" cy="726281"/>
            <a:chOff x="7655719" y="1428750"/>
            <a:chExt cx="1262062" cy="726281"/>
          </a:xfrm>
        </xdr:grpSpPr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A5E64E58-0067-B5A2-F441-1DFF0D740B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65362" y="1428750"/>
              <a:ext cx="452457" cy="588378"/>
            </a:xfrm>
            <a:prstGeom prst="rect">
              <a:avLst/>
            </a:prstGeom>
          </xdr:spPr>
        </xdr:pic>
        <xdr:pic>
          <xdr:nvPicPr>
            <xdr:cNvPr id="17" name="Gráfico 16">
              <a:extLst>
                <a:ext uri="{FF2B5EF4-FFF2-40B4-BE49-F238E27FC236}">
                  <a16:creationId xmlns:a16="http://schemas.microsoft.com/office/drawing/2014/main" id="{AFFCFC91-B975-EEF3-3D9E-3A158CCBDC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7655719" y="1906772"/>
              <a:ext cx="1262062" cy="248259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71437</xdr:colOff>
      <xdr:row>0</xdr:row>
      <xdr:rowOff>154780</xdr:rowOff>
    </xdr:from>
    <xdr:to>
      <xdr:col>0</xdr:col>
      <xdr:colOff>766762</xdr:colOff>
      <xdr:row>3</xdr:row>
      <xdr:rowOff>195261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61B9EAC4-DEAF-419A-B71C-47B9E340CDAB}"/>
            </a:ext>
          </a:extLst>
        </xdr:cNvPr>
        <xdr:cNvSpPr/>
      </xdr:nvSpPr>
      <xdr:spPr>
        <a:xfrm>
          <a:off x="71437" y="15478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71437</xdr:colOff>
      <xdr:row>4</xdr:row>
      <xdr:rowOff>107156</xdr:rowOff>
    </xdr:from>
    <xdr:to>
      <xdr:col>0</xdr:col>
      <xdr:colOff>1750219</xdr:colOff>
      <xdr:row>5</xdr:row>
      <xdr:rowOff>178594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2012E67E-0128-987E-6A25-44B74F17F0B1}"/>
            </a:ext>
          </a:extLst>
        </xdr:cNvPr>
        <xdr:cNvSpPr/>
      </xdr:nvSpPr>
      <xdr:spPr>
        <a:xfrm>
          <a:off x="71437" y="976312"/>
          <a:ext cx="1678782" cy="26193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Bem</a:t>
          </a:r>
          <a:r>
            <a:rPr lang="pt-BR" sz="1200" b="1" baseline="0"/>
            <a:t> vinda, Thamiris</a:t>
          </a:r>
          <a:endParaRPr lang="pt-BR" sz="1200" b="1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0.00339</cdr:x>
      <cdr:y>0</cdr:y>
    </cdr:from>
    <cdr:to>
      <cdr:x>1</cdr:x>
      <cdr:y>0.14757</cdr:y>
    </cdr:to>
    <cdr:sp macro="" textlink="">
      <cdr:nvSpPr>
        <cdr:cNvPr id="3" name="Retângulo: Cantos Arredondados 2">
          <a:extLst xmlns:a="http://schemas.openxmlformats.org/drawingml/2006/main">
            <a:ext uri="{FF2B5EF4-FFF2-40B4-BE49-F238E27FC236}">
              <a16:creationId xmlns:a16="http://schemas.microsoft.com/office/drawing/2014/main" id="{377BA879-6EEF-7492-C0F2-1E6D039AC271}"/>
            </a:ext>
          </a:extLst>
        </cdr:cNvPr>
        <cdr:cNvSpPr/>
      </cdr:nvSpPr>
      <cdr:spPr>
        <a:xfrm xmlns:a="http://schemas.openxmlformats.org/drawingml/2006/main">
          <a:off x="40079" y="0"/>
          <a:ext cx="11780447" cy="507773"/>
        </a:xfrm>
        <a:prstGeom xmlns:a="http://schemas.openxmlformats.org/drawingml/2006/main" prst="round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SUBSCRIPTIONS MINECRAFT SEASON PASS</a:t>
          </a:r>
          <a:endParaRPr lang="pt-BR" sz="12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n Oliveira" refreshedDate="46041.184457407406" createdVersion="8" refreshedVersion="8" minRefreshableVersion="3" recordCount="295" xr:uid="{3420E4E2-03B8-4ED3-A541-C181D8D9ECC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045886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2EA7B-2B12-459A-A838-111DF1D6CACB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0:D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BA768-3347-41C2-90D3-C7134D923C77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19:D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5C07E-1FD0-4566-85A7-1873177BB94A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9:D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9AB3B34-E74B-4FE0-BB53-03D1F498DF97}" sourceName="Subscription Type">
  <pivotTables>
    <pivotTable tabId="3" name="Tabela dinâmica1"/>
    <pivotTable tabId="3" name="Tabela dinâmica2"/>
    <pivotTable tabId="3" name="Tabela dinâmica3"/>
  </pivotTables>
  <data>
    <tabular pivotCacheId="2104588649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AB4C9CD-4A73-4B52-ABE8-3B9671A9EFC5}" cache="SegmentaçãodeDados_Subscription_Type" caption="Subscription Type" style="Estilo de Segmentação de Dados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D32" sqref="D3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32" sqref="D3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F34"/>
  <sheetViews>
    <sheetView showGridLines="0" topLeftCell="A13" workbookViewId="0">
      <selection activeCell="A20" sqref="A20"/>
    </sheetView>
  </sheetViews>
  <sheetFormatPr defaultRowHeight="15" x14ac:dyDescent="0.25"/>
  <cols>
    <col min="3" max="3" width="18" bestFit="1" customWidth="1"/>
    <col min="4" max="4" width="34.5703125" bestFit="1" customWidth="1"/>
    <col min="5" max="5" width="36.85546875" bestFit="1" customWidth="1"/>
    <col min="6" max="6" width="40.140625" bestFit="1" customWidth="1"/>
    <col min="7" max="7" width="6.28515625" customWidth="1"/>
    <col min="8" max="8" width="19.140625" bestFit="1" customWidth="1"/>
    <col min="9" max="9" width="27.7109375" bestFit="1" customWidth="1"/>
    <col min="10" max="10" width="5.42578125" customWidth="1"/>
    <col min="11" max="11" width="21.140625" bestFit="1" customWidth="1"/>
    <col min="12" max="13" width="35.140625" bestFit="1" customWidth="1"/>
    <col min="14" max="17" width="9.7109375" bestFit="1" customWidth="1"/>
    <col min="18" max="18" width="15.5703125" bestFit="1" customWidth="1"/>
    <col min="19" max="19" width="12.140625" bestFit="1" customWidth="1"/>
  </cols>
  <sheetData>
    <row r="3" spans="3:4" x14ac:dyDescent="0.25">
      <c r="C3" t="s">
        <v>316</v>
      </c>
    </row>
    <row r="4" spans="3:4" x14ac:dyDescent="0.25">
      <c r="C4" t="s">
        <v>317</v>
      </c>
    </row>
    <row r="7" spans="3:4" x14ac:dyDescent="0.25">
      <c r="C7" s="13" t="s">
        <v>16</v>
      </c>
      <c r="D7" t="s">
        <v>20</v>
      </c>
    </row>
    <row r="9" spans="3:4" x14ac:dyDescent="0.25">
      <c r="C9" s="13" t="s">
        <v>314</v>
      </c>
      <c r="D9" t="s">
        <v>313</v>
      </c>
    </row>
    <row r="10" spans="3:4" x14ac:dyDescent="0.25">
      <c r="C10" s="14" t="s">
        <v>23</v>
      </c>
      <c r="D10" s="12">
        <v>2824</v>
      </c>
    </row>
    <row r="11" spans="3:4" x14ac:dyDescent="0.25">
      <c r="C11" s="14" t="s">
        <v>19</v>
      </c>
      <c r="D11" s="12">
        <v>747</v>
      </c>
    </row>
    <row r="12" spans="3:4" x14ac:dyDescent="0.25">
      <c r="C12" s="14" t="s">
        <v>315</v>
      </c>
      <c r="D12" s="12">
        <v>3571</v>
      </c>
    </row>
    <row r="16" spans="3:4" x14ac:dyDescent="0.25">
      <c r="C16" t="s">
        <v>319</v>
      </c>
    </row>
    <row r="17" spans="3:6" x14ac:dyDescent="0.25">
      <c r="C17" s="13" t="s">
        <v>16</v>
      </c>
      <c r="D17" t="s">
        <v>20</v>
      </c>
    </row>
    <row r="19" spans="3:6" x14ac:dyDescent="0.25">
      <c r="C19" s="13" t="s">
        <v>314</v>
      </c>
      <c r="D19" t="s">
        <v>320</v>
      </c>
    </row>
    <row r="20" spans="3:6" x14ac:dyDescent="0.25">
      <c r="C20" s="14" t="s">
        <v>22</v>
      </c>
      <c r="D20" s="16">
        <v>0</v>
      </c>
    </row>
    <row r="21" spans="3:6" x14ac:dyDescent="0.25">
      <c r="C21" s="14" t="s">
        <v>26</v>
      </c>
      <c r="D21" s="16">
        <v>0</v>
      </c>
    </row>
    <row r="22" spans="3:6" x14ac:dyDescent="0.25">
      <c r="C22" s="14" t="s">
        <v>18</v>
      </c>
      <c r="D22" s="16">
        <v>1350</v>
      </c>
    </row>
    <row r="23" spans="3:6" x14ac:dyDescent="0.25">
      <c r="C23" s="14" t="s">
        <v>315</v>
      </c>
      <c r="D23" s="16">
        <v>1350</v>
      </c>
      <c r="E23" s="17"/>
      <c r="F23" s="18">
        <f>GETPIVOTDATA("EA Play Season Pass
Price",$C$19)</f>
        <v>1350</v>
      </c>
    </row>
    <row r="27" spans="3:6" x14ac:dyDescent="0.25">
      <c r="C27" t="s">
        <v>321</v>
      </c>
    </row>
    <row r="28" spans="3:6" x14ac:dyDescent="0.25">
      <c r="C28" s="13" t="s">
        <v>16</v>
      </c>
      <c r="D28" t="s">
        <v>20</v>
      </c>
    </row>
    <row r="30" spans="3:6" x14ac:dyDescent="0.25">
      <c r="C30" s="13" t="s">
        <v>314</v>
      </c>
      <c r="D30" t="s">
        <v>322</v>
      </c>
    </row>
    <row r="31" spans="3:6" x14ac:dyDescent="0.25">
      <c r="C31" s="14" t="s">
        <v>22</v>
      </c>
      <c r="D31" s="12">
        <v>0</v>
      </c>
    </row>
    <row r="32" spans="3:6" x14ac:dyDescent="0.25">
      <c r="C32" s="14" t="s">
        <v>26</v>
      </c>
      <c r="D32" s="12">
        <v>900</v>
      </c>
    </row>
    <row r="33" spans="3:6" x14ac:dyDescent="0.25">
      <c r="C33" s="14" t="s">
        <v>18</v>
      </c>
      <c r="D33" s="12">
        <v>900</v>
      </c>
    </row>
    <row r="34" spans="3:6" ht="53.25" x14ac:dyDescent="0.85">
      <c r="C34" s="14" t="s">
        <v>315</v>
      </c>
      <c r="D34" s="12">
        <v>1800</v>
      </c>
      <c r="F34" s="20">
        <f>GETPIVOTDATA("Minecraft Season Pass Price",$C$30)</f>
        <v>1800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K246"/>
  <sheetViews>
    <sheetView showGridLines="0" showRowColHeaders="0" tabSelected="1" zoomScale="80" zoomScaleNormal="80" workbookViewId="0">
      <selection activeCell="Y20" sqref="Y20"/>
    </sheetView>
  </sheetViews>
  <sheetFormatPr defaultRowHeight="15" x14ac:dyDescent="0.25"/>
  <cols>
    <col min="1" max="1" width="27.42578125" style="19" customWidth="1"/>
    <col min="2" max="2" width="7" customWidth="1"/>
    <col min="12" max="12" width="6.5703125" customWidth="1"/>
    <col min="18" max="18" width="11.140625" customWidth="1"/>
  </cols>
  <sheetData>
    <row r="2" spans="2:37" ht="20.25" thickBot="1" x14ac:dyDescent="0.35">
      <c r="C2" s="21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2:37" ht="15.75" thickTop="1" x14ac:dyDescent="0.25"/>
    <row r="4" spans="2:37" ht="16.5" customHeight="1" x14ac:dyDescent="0.25">
      <c r="B4" s="7"/>
      <c r="C4" s="22" t="s">
        <v>323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2:37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2:37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2:37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2:37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2:37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2:37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2:37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2:37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2:37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2:37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2:37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2:37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2:37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2:37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2:37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2:37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2:37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2:37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2:37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2:37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2:37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2:37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2:37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2:37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2:37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2:37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2:37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2:37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2:37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2:37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2:37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2:37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2:37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2:37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2:37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2:37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2:37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2:37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2:37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2:37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2:37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2:37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2:37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2:37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2:37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2:37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2:37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2:37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2:37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2:37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2:37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2:37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2:37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2:37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2:37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2:37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2:37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2:37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2:37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2:37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2:37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2:37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2:37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2:37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2:37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2:37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2:37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2:37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2:37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2:37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2:37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2:37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2:37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2:37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2:37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2:37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2:37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2:37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2:37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2:37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2:37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2:37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2:37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2:37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2:37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2:37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2:37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2:37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2:37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2:37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2:37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2:37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2:37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2:37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2:37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2:37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2:37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2:37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2:37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2:37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2:37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2:37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2:37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2:37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2:37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2:37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2:37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2:37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2:37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2:37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2:37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2:37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2:37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2:37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2:37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2:37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2:37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2:37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2:37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2:37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2:37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2:37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2:37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2:37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2:37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2:37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2:37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2:37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2:37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2:37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2:37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2:37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2:37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2:37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2:37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2:37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2:37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2:37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2:37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2:37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2:37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2:37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2:37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2:37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2:37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2:37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2:37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2:37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2:37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2:37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2:37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2:37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2:37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2:37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2:37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2:37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2:37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2:37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2:37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2:37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2:37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2:37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2:37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2:37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2:37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2:37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2:37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2:37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2:37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2:37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2:37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2:37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2:37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2:37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2:37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2:37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2:37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2:37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2:37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2:37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2:37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2:37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2:37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2:37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2:37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2:37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2:37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2:37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2:37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2:37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2:37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2:37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2:37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2:37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2:37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2:37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2:37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2:37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2:37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2:37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2:37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2:37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2:37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2:37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2:25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2:25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2:25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2:25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2:25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2:25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2:25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2:25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2:25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2:25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2:25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2:25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2:25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2:25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2:25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2:25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2:25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2:25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2:25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2:25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2:25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2:25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2:25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2:25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2:25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2:25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2:25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2:25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2:25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2:25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2:25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2:25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2:25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2:25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2:25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2:25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2:25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2:25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Renan Oliveira</cp:lastModifiedBy>
  <dcterms:created xsi:type="dcterms:W3CDTF">2024-12-19T13:13:10Z</dcterms:created>
  <dcterms:modified xsi:type="dcterms:W3CDTF">2026-01-19T09:18:46Z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